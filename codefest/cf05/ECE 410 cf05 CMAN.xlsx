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<sst xmlns="http://schemas.openxmlformats.org/spreadsheetml/2006/main" count="29" uniqueCount="22">
  <si>
    <t xml:space="preserve">Preloaded Array</t>
  </si>
  <si>
    <t xml:space="preserve">A[0] input→</t>
  </si>
  <si>
    <t xml:space="preserve">A[1] input→</t>
  </si>
  <si>
    <t xml:space="preserve">Cycle</t>
  </si>
  <si>
    <t xml:space="preserve">Input to row 0</t>
  </si>
  <si>
    <t xml:space="preserve">Input to row 1</t>
  </si>
  <si>
    <t xml:space="preserve">PE[0][0] partial sum</t>
  </si>
  <si>
    <t xml:space="preserve">PE[0][1] partial sum</t>
  </si>
  <si>
    <t xml:space="preserve">PE[1][0] partial sum</t>
  </si>
  <si>
    <t xml:space="preserve">PE[1][1] partial sum</t>
  </si>
  <si>
    <t xml:space="preserve">Output C Values: Column 1</t>
  </si>
  <si>
    <t xml:space="preserve">Output C Values: Column 2</t>
  </si>
  <si>
    <t xml:space="preserve">1</t>
  </si>
  <si>
    <t xml:space="preserve">None</t>
  </si>
  <si>
    <t xml:space="preserve">2</t>
  </si>
  <si>
    <t xml:space="preserve">3</t>
  </si>
  <si>
    <t xml:space="preserve">4</t>
  </si>
  <si>
    <t xml:space="preserve">Total MAC Ops</t>
  </si>
  <si>
    <t xml:space="preserve">Input Reuse #</t>
  </si>
  <si>
    <t xml:space="preserve">Off-chip Accesses</t>
  </si>
  <si>
    <t xml:space="preserve">12</t>
  </si>
  <si>
    <t xml:space="preserve">In a output stationary systolic array, the output values of each MAC operation remains stationary in each processing unit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</si>
</sst>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dotted"/>
      <top style="thin"/>
      <bottom style="dotted"/>
      <diagonal/>
    </border>
    <border diagonalUp="false" diagonalDown="false">
      <left style="dotted"/>
      <right style="thin"/>
      <top style="thin"/>
      <bottom style="dotted"/>
      <diagonal/>
    </border>
    <border diagonalUp="false" diagonalDown="false">
      <left style="thin"/>
      <right style="dotted"/>
      <top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 style="dotted"/>
      <top style="dotted"/>
      <bottom style="thin"/>
      <diagonal/>
    </border>
    <border diagonalUp="false" diagonalDown="false">
      <left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5:I11" headerRowCount="1" totalsRowCount="0" totalsRowShown="0">
  <tableColumns count="9">
    <tableColumn id="1" name="Cycle"/>
    <tableColumn id="2" name="Input to row 0"/>
    <tableColumn id="3" name="Input to row 1"/>
    <tableColumn id="4" name="PE[0][0] partial sum"/>
    <tableColumn id="5" name="PE[0][1] partial sum"/>
    <tableColumn id="6" name="PE[1][0] partial sum"/>
    <tableColumn id="7" name="PE[1][1] partial sum"/>
    <tableColumn id="8" name="Output C Values: Column 1"/>
    <tableColumn id="9" name="Output C Values: Column 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4"/>
    <col collapsed="false" customWidth="true" hidden="false" outlineLevel="0" max="3" min="2" style="0" width="19"/>
    <col collapsed="false" customWidth="true" hidden="false" outlineLevel="0" max="7" min="4" style="0" width="23.25"/>
    <col collapsed="false" customWidth="true" hidden="false" outlineLevel="0" max="8" min="8" style="0" width="24.76"/>
    <col collapsed="false" customWidth="true" hidden="false" outlineLevel="0" max="9" min="9" style="0" width="28.63"/>
  </cols>
  <sheetData>
    <row r="1" customFormat="false" ht="15.75" hidden="false" customHeight="false" outlineLevel="0" collapsed="false">
      <c r="A1" s="1" t="s">
        <v>0</v>
      </c>
      <c r="B1" s="2"/>
      <c r="C1" s="3"/>
    </row>
    <row r="2" customFormat="false" ht="15.75" hidden="false" customHeight="false" outlineLevel="0" collapsed="false">
      <c r="A2" s="4" t="s">
        <v>1</v>
      </c>
      <c r="B2" s="5" t="n">
        <v>5</v>
      </c>
      <c r="C2" s="6" t="n">
        <v>6</v>
      </c>
    </row>
    <row r="3" customFormat="false" ht="15.75" hidden="false" customHeight="false" outlineLevel="0" collapsed="false">
      <c r="A3" s="7" t="s">
        <v>2</v>
      </c>
      <c r="B3" s="8" t="n">
        <v>7</v>
      </c>
      <c r="C3" s="9" t="n">
        <v>8</v>
      </c>
    </row>
    <row r="5" customFormat="false" ht="22.5" hidden="false" customHeight="true" outlineLevel="0" collapsed="false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customFormat="false" ht="22.5" hidden="false" customHeight="true" outlineLevel="0" collapsed="false">
      <c r="A6" s="11" t="n">
        <f aca="false">0</f>
        <v>0</v>
      </c>
      <c r="B6" s="12" t="s">
        <v>12</v>
      </c>
      <c r="C6" s="11" t="s">
        <v>13</v>
      </c>
      <c r="D6" s="11" t="n">
        <v>5</v>
      </c>
      <c r="E6" s="11" t="n">
        <v>6</v>
      </c>
      <c r="F6" s="11" t="n">
        <v>7</v>
      </c>
      <c r="G6" s="11" t="n">
        <v>8</v>
      </c>
      <c r="H6" s="13" t="n">
        <f aca="false">D6+F6</f>
        <v>12</v>
      </c>
      <c r="I6" s="13" t="n">
        <f aca="false">E6+G6</f>
        <v>14</v>
      </c>
    </row>
    <row r="7" customFormat="false" ht="22.5" hidden="false" customHeight="true" outlineLevel="0" collapsed="false">
      <c r="A7" s="11" t="n">
        <f aca="false">A6+1</f>
        <v>1</v>
      </c>
      <c r="B7" s="12" t="s">
        <v>14</v>
      </c>
      <c r="C7" s="12" t="s">
        <v>15</v>
      </c>
      <c r="D7" s="11" t="n">
        <f aca="false">1*5</f>
        <v>5</v>
      </c>
      <c r="E7" s="11" t="n">
        <v>6</v>
      </c>
      <c r="F7" s="11" t="n">
        <v>7</v>
      </c>
      <c r="G7" s="11" t="n">
        <v>8</v>
      </c>
      <c r="H7" s="13" t="n">
        <f aca="false">D7+F7</f>
        <v>12</v>
      </c>
      <c r="I7" s="13" t="n">
        <f aca="false">E7+G7</f>
        <v>14</v>
      </c>
    </row>
    <row r="8" customFormat="false" ht="22.5" hidden="false" customHeight="true" outlineLevel="0" collapsed="false">
      <c r="A8" s="11" t="n">
        <f aca="false">A7+1</f>
        <v>2</v>
      </c>
      <c r="B8" s="11" t="s">
        <v>13</v>
      </c>
      <c r="C8" s="12" t="s">
        <v>16</v>
      </c>
      <c r="D8" s="11" t="n">
        <f aca="false">2*5</f>
        <v>10</v>
      </c>
      <c r="E8" s="11" t="n">
        <f aca="false">1*6</f>
        <v>6</v>
      </c>
      <c r="F8" s="11" t="n">
        <f aca="false">3*7</f>
        <v>21</v>
      </c>
      <c r="G8" s="11" t="n">
        <v>8</v>
      </c>
      <c r="H8" s="13" t="n">
        <f aca="false">D8+F8</f>
        <v>31</v>
      </c>
      <c r="I8" s="13" t="n">
        <f aca="false">E8+G8</f>
        <v>14</v>
      </c>
    </row>
    <row r="9" customFormat="false" ht="22.5" hidden="false" customHeight="true" outlineLevel="0" collapsed="false">
      <c r="A9" s="11" t="n">
        <f aca="false">A8+1</f>
        <v>3</v>
      </c>
      <c r="B9" s="11" t="s">
        <v>13</v>
      </c>
      <c r="C9" s="12" t="s">
        <v>13</v>
      </c>
      <c r="D9" s="11" t="n">
        <v>5</v>
      </c>
      <c r="E9" s="11" t="n">
        <f aca="false">2*6</f>
        <v>12</v>
      </c>
      <c r="F9" s="11" t="n">
        <f aca="false">4*7</f>
        <v>28</v>
      </c>
      <c r="G9" s="11" t="n">
        <f aca="false">3*8</f>
        <v>24</v>
      </c>
      <c r="H9" s="13" t="n">
        <f aca="false">D9+F9</f>
        <v>33</v>
      </c>
      <c r="I9" s="13" t="n">
        <f aca="false">E9+G9</f>
        <v>36</v>
      </c>
    </row>
    <row r="10" customFormat="false" ht="22.5" hidden="false" customHeight="true" outlineLevel="0" collapsed="false">
      <c r="A10" s="11" t="n">
        <f aca="false">A9+1</f>
        <v>4</v>
      </c>
      <c r="B10" s="11" t="s">
        <v>13</v>
      </c>
      <c r="C10" s="12" t="s">
        <v>13</v>
      </c>
      <c r="D10" s="11" t="n">
        <v>5</v>
      </c>
      <c r="E10" s="11" t="n">
        <v>6</v>
      </c>
      <c r="F10" s="11" t="n">
        <v>7</v>
      </c>
      <c r="G10" s="11" t="n">
        <f aca="false">4*8</f>
        <v>32</v>
      </c>
      <c r="H10" s="13" t="n">
        <f aca="false">D10+F10</f>
        <v>12</v>
      </c>
      <c r="I10" s="13" t="n">
        <f aca="false">E10+G10</f>
        <v>38</v>
      </c>
    </row>
    <row r="11" customFormat="false" ht="22.5" hidden="false" customHeight="true" outlineLevel="0" collapsed="false">
      <c r="A11" s="11" t="n">
        <f aca="false">A10+1</f>
        <v>5</v>
      </c>
      <c r="B11" s="11" t="s">
        <v>13</v>
      </c>
      <c r="C11" s="12" t="s">
        <v>13</v>
      </c>
      <c r="D11" s="11" t="n">
        <v>5</v>
      </c>
      <c r="E11" s="11" t="n">
        <v>6</v>
      </c>
      <c r="F11" s="11" t="n">
        <v>7</v>
      </c>
      <c r="G11" s="11" t="n">
        <v>8</v>
      </c>
      <c r="H11" s="13" t="n">
        <f aca="false">D11+F11</f>
        <v>12</v>
      </c>
      <c r="I11" s="13" t="n">
        <f aca="false">E11+G11</f>
        <v>14</v>
      </c>
    </row>
    <row r="12" customFormat="false" ht="15.75" hidden="false" customHeight="false" outlineLevel="0" collapsed="false">
      <c r="A12" s="14"/>
      <c r="B12" s="14"/>
      <c r="C12" s="15"/>
      <c r="D12" s="14"/>
      <c r="E12" s="14"/>
      <c r="F12" s="14"/>
      <c r="G12" s="14"/>
      <c r="H12" s="16"/>
      <c r="I12" s="16"/>
    </row>
    <row r="13" customFormat="false" ht="16.5" hidden="false" customHeight="true" outlineLevel="0" collapsed="false">
      <c r="A13" s="17" t="s">
        <v>17</v>
      </c>
      <c r="B13" s="17" t="n">
        <v>8</v>
      </c>
      <c r="C13" s="15"/>
      <c r="D13" s="14"/>
      <c r="E13" s="14"/>
      <c r="F13" s="14"/>
      <c r="G13" s="14"/>
      <c r="H13" s="16"/>
      <c r="I13" s="16"/>
    </row>
    <row r="14" customFormat="false" ht="15.75" hidden="false" customHeight="false" outlineLevel="0" collapsed="false">
      <c r="A14" s="17" t="s">
        <v>18</v>
      </c>
      <c r="B14" s="17" t="n">
        <v>4</v>
      </c>
      <c r="C14" s="15"/>
      <c r="D14" s="14"/>
      <c r="E14" s="14"/>
      <c r="F14" s="14"/>
      <c r="G14" s="14"/>
      <c r="H14" s="16"/>
      <c r="I14" s="16"/>
    </row>
    <row r="15" customFormat="false" ht="15.75" hidden="false" customHeight="false" outlineLevel="0" collapsed="false">
      <c r="A15" s="17" t="s">
        <v>19</v>
      </c>
      <c r="B15" s="18" t="s">
        <v>20</v>
      </c>
      <c r="C15" s="15"/>
      <c r="D15" s="14"/>
      <c r="E15" s="14"/>
      <c r="F15" s="14"/>
      <c r="G15" s="14"/>
      <c r="H15" s="16"/>
      <c r="I15" s="16"/>
    </row>
    <row r="16" customFormat="false" ht="15.75" hidden="false" customHeight="false" outlineLevel="0" collapsed="false">
      <c r="A16" s="14"/>
      <c r="B16" s="15"/>
      <c r="C16" s="15"/>
      <c r="D16" s="14"/>
      <c r="E16" s="14"/>
      <c r="F16" s="14"/>
      <c r="G16" s="14"/>
      <c r="H16" s="16"/>
      <c r="I16" s="16"/>
    </row>
    <row r="17" customFormat="false" ht="15.75" hidden="false" customHeight="true" outlineLevel="0" collapsed="false">
      <c r="A17" s="19" t="s">
        <v>21</v>
      </c>
      <c r="B17" s="19"/>
      <c r="C17" s="19"/>
      <c r="D17" s="19"/>
      <c r="E17" s="19"/>
      <c r="F17" s="19"/>
      <c r="G17" s="19"/>
    </row>
  </sheetData>
  <mergeCells count="1">
    <mergeCell ref="A17:G17"/>
  </mergeCells>
  <dataValidations count="2">
    <dataValidation allowBlank="true" errorStyle="stop" operator="between" showDropDown="true" showErrorMessage="false" showInputMessage="false" sqref="A6:A11 D6:I11" type="custom">
      <formula1>AND(ISNUMBER(A6),(NOT(OR(NOT(ISERROR(DATEVALUE(A6))), AND(ISNUMBER(A6), LEFT(CELL("format", A6))="D")))))</formula1>
      <formula2>0</formula2>
    </dataValidation>
    <dataValidation allowBlank="true" errorStyle="stop" operator="between" showDropDown="true" showErrorMessage="false" showInputMessage="false" sqref="B6:C11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2026-05-04T00:43:32Z</cp:lastPrinted>
  <dcterms:modified xsi:type="dcterms:W3CDTF">2026-05-04T09:37:25Z</dcterms:modified>
  <cp:revision>1</cp:revision>
  <dc:subject/>
  <dc:title/>
</cp:coreProperties>
</file>