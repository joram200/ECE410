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<sst xmlns="http://schemas.openxmlformats.org/spreadsheetml/2006/main" count="27" uniqueCount="20">
  <si>
    <t>Preloaded Array</t>
  </si>
  <si>
    <t>A[0] input→</t>
  </si>
  <si>
    <t>A[1] input→</t>
  </si>
  <si>
    <t>Cycle</t>
  </si>
  <si>
    <t>Input to row 0</t>
  </si>
  <si>
    <t>Input to row 1</t>
  </si>
  <si>
    <t>PE[0][0] partial sum</t>
  </si>
  <si>
    <t>PE[0][1] partial sum</t>
  </si>
  <si>
    <t>PE[1][0] partial sum</t>
  </si>
  <si>
    <t>PE[1][1] partial sum</t>
  </si>
  <si>
    <t>Output C Values: Column 1</t>
  </si>
  <si>
    <t>Output C Values: Column 2</t>
  </si>
  <si>
    <t>1</t>
  </si>
  <si>
    <t>None</t>
  </si>
  <si>
    <t>2</t>
  </si>
  <si>
    <t>3</t>
  </si>
  <si>
    <t>4</t>
  </si>
  <si>
    <t>Total MAC Ops</t>
  </si>
  <si>
    <t>Input Reuse #</t>
  </si>
  <si>
    <t>Off-chip Accesses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</si>
</sst>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2" fillId="0" fontId="1" numFmtId="0" xfId="0" applyBorder="1" applyFont="1"/>
    <xf borderId="3" fillId="0" fontId="1" numFmtId="0" xfId="0" applyBorder="1" applyFont="1"/>
    <xf borderId="4" fillId="0" fontId="1" numFmtId="0" xfId="0" applyAlignment="1" applyBorder="1" applyFont="1">
      <alignment horizontal="right" readingOrder="0"/>
    </xf>
    <xf borderId="5" fillId="0" fontId="1" numFmtId="0" xfId="0" applyAlignment="1" applyBorder="1" applyFont="1">
      <alignment readingOrder="0"/>
    </xf>
    <xf borderId="6" fillId="0" fontId="1" numFmtId="0" xfId="0" applyAlignment="1" applyBorder="1" applyFont="1">
      <alignment readingOrder="0"/>
    </xf>
    <xf borderId="7" fillId="0" fontId="1" numFmtId="0" xfId="0" applyAlignment="1" applyBorder="1" applyFont="1">
      <alignment horizontal="right" readingOrder="0"/>
    </xf>
    <xf borderId="8" fillId="0" fontId="1" numFmtId="0" xfId="0" applyAlignment="1" applyBorder="1" applyFont="1">
      <alignment readingOrder="0"/>
    </xf>
    <xf borderId="9" fillId="0" fontId="1" numFmtId="0" xfId="0" applyAlignment="1" applyBorder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0" xfId="0" applyAlignment="1" applyFont="1">
      <alignment horizontal="right" readingOrder="0"/>
    </xf>
    <xf borderId="0" fillId="0" fontId="1" numFmtId="49" xfId="0" applyAlignment="1" applyFont="1" applyNumberFormat="1">
      <alignment horizontal="right" readingOrder="0"/>
    </xf>
    <xf borderId="0" fillId="0" fontId="1" numFmtId="0" xfId="0" applyAlignment="1" applyFont="1">
      <alignment horizontal="right"/>
    </xf>
    <xf borderId="0" fillId="0" fontId="1" numFmtId="0" xfId="0" applyFont="1"/>
    <xf borderId="0" fillId="0" fontId="1" numFmtId="0" xfId="0" applyAlignment="1" applyFont="1">
      <alignment horizontal="left" readingOrder="0"/>
    </xf>
    <xf borderId="0" fillId="0" fontId="1" numFmtId="49" xfId="0" applyAlignment="1" applyFont="1" applyNumberFormat="1">
      <alignment horizontal="left"/>
    </xf>
    <xf borderId="0" fillId="0" fontId="1" numFmtId="49" xfId="0" applyAlignment="1" applyFont="1" applyNumberFormat="1">
      <alignment horizontal="right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5:I11" displayName="Table1" name="Table1" id="1">
  <tableColumns count="9">
    <tableColumn name="Cycle" id="1"/>
    <tableColumn name="Input to row 0" id="2"/>
    <tableColumn name="Input to row 1" id="3"/>
    <tableColumn name="PE[0][0] partial sum" id="4"/>
    <tableColumn name="PE[0][1] partial sum" id="5"/>
    <tableColumn name="PE[1][0] partial sum" id="6"/>
    <tableColumn name="PE[1][1] partial sum" id="7"/>
    <tableColumn name="Output C Values: Column 1" id="8"/>
    <tableColumn name="Output C Values: Column 2" id="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9.0"/>
    <col customWidth="1" min="4" max="7" width="23.25"/>
    <col customWidth="1" min="8" max="8" width="24.75"/>
    <col customWidth="1" min="9" max="9" width="28.63"/>
  </cols>
  <sheetData>
    <row r="1">
      <c r="A1" s="1" t="s">
        <v>0</v>
      </c>
      <c r="B1" s="2"/>
      <c r="C1" s="3"/>
    </row>
    <row r="2">
      <c r="A2" s="4" t="s">
        <v>1</v>
      </c>
      <c r="B2" s="5">
        <v>5.0</v>
      </c>
      <c r="C2" s="6">
        <v>6.0</v>
      </c>
    </row>
    <row r="3">
      <c r="A3" s="7" t="s">
        <v>2</v>
      </c>
      <c r="B3" s="8">
        <v>7.0</v>
      </c>
      <c r="C3" s="9">
        <v>8.0</v>
      </c>
    </row>
    <row r="5" ht="22.5" customHeight="1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1" t="s">
        <v>10</v>
      </c>
      <c r="I5" s="11" t="s">
        <v>11</v>
      </c>
    </row>
    <row r="6" ht="22.5" customHeight="1">
      <c r="A6" s="12">
        <f>0</f>
        <v>0</v>
      </c>
      <c r="B6" s="13" t="s">
        <v>12</v>
      </c>
      <c r="C6" s="12" t="s">
        <v>13</v>
      </c>
      <c r="D6" s="12">
        <v>5.0</v>
      </c>
      <c r="E6" s="12">
        <v>6.0</v>
      </c>
      <c r="F6" s="12">
        <v>7.0</v>
      </c>
      <c r="G6" s="12">
        <v>8.0</v>
      </c>
      <c r="H6" s="14">
        <f t="shared" ref="H6:I6" si="1">D6+F6</f>
        <v>12</v>
      </c>
      <c r="I6" s="14">
        <f t="shared" si="1"/>
        <v>14</v>
      </c>
    </row>
    <row r="7" ht="22.5" customHeight="1">
      <c r="A7" s="12">
        <f t="shared" ref="A7:A11" si="3">A6+1</f>
        <v>1</v>
      </c>
      <c r="B7" s="13" t="s">
        <v>14</v>
      </c>
      <c r="C7" s="13" t="s">
        <v>15</v>
      </c>
      <c r="D7" s="12">
        <f>1*5</f>
        <v>5</v>
      </c>
      <c r="E7" s="12">
        <v>6.0</v>
      </c>
      <c r="F7" s="12">
        <v>7.0</v>
      </c>
      <c r="G7" s="12">
        <v>8.0</v>
      </c>
      <c r="H7" s="14">
        <f t="shared" ref="H7:I7" si="2">D7+F7</f>
        <v>12</v>
      </c>
      <c r="I7" s="14">
        <f t="shared" si="2"/>
        <v>14</v>
      </c>
    </row>
    <row r="8" ht="22.5" customHeight="1">
      <c r="A8" s="12">
        <f t="shared" si="3"/>
        <v>2</v>
      </c>
      <c r="B8" s="12" t="s">
        <v>13</v>
      </c>
      <c r="C8" s="13" t="s">
        <v>16</v>
      </c>
      <c r="D8" s="12">
        <f>2*5</f>
        <v>10</v>
      </c>
      <c r="E8" s="12">
        <f>1*6</f>
        <v>6</v>
      </c>
      <c r="F8" s="12">
        <f>3*7</f>
        <v>21</v>
      </c>
      <c r="G8" s="12">
        <v>8.0</v>
      </c>
      <c r="H8" s="14">
        <f t="shared" ref="H8:I8" si="4">D8+F8</f>
        <v>31</v>
      </c>
      <c r="I8" s="14">
        <f t="shared" si="4"/>
        <v>14</v>
      </c>
    </row>
    <row r="9" ht="22.5" customHeight="1">
      <c r="A9" s="12">
        <f t="shared" si="3"/>
        <v>3</v>
      </c>
      <c r="B9" s="12" t="s">
        <v>13</v>
      </c>
      <c r="C9" s="13" t="s">
        <v>13</v>
      </c>
      <c r="D9" s="12">
        <v>5.0</v>
      </c>
      <c r="E9" s="12">
        <f>2*6</f>
        <v>12</v>
      </c>
      <c r="F9" s="12">
        <f>4*7</f>
        <v>28</v>
      </c>
      <c r="G9" s="12">
        <f>3*8</f>
        <v>24</v>
      </c>
      <c r="H9" s="14">
        <f t="shared" ref="H9:I9" si="5">D9+F9</f>
        <v>33</v>
      </c>
      <c r="I9" s="14">
        <f t="shared" si="5"/>
        <v>36</v>
      </c>
    </row>
    <row r="10" ht="22.5" customHeight="1">
      <c r="A10" s="12">
        <f t="shared" si="3"/>
        <v>4</v>
      </c>
      <c r="B10" s="12" t="s">
        <v>13</v>
      </c>
      <c r="C10" s="13" t="s">
        <v>13</v>
      </c>
      <c r="D10" s="12">
        <v>5.0</v>
      </c>
      <c r="E10" s="12">
        <v>6.0</v>
      </c>
      <c r="F10" s="12">
        <v>7.0</v>
      </c>
      <c r="G10" s="15">
        <f>4*8</f>
        <v>32</v>
      </c>
      <c r="H10" s="14">
        <f t="shared" ref="H10:I10" si="6">D10+F10</f>
        <v>12</v>
      </c>
      <c r="I10" s="14">
        <f t="shared" si="6"/>
        <v>38</v>
      </c>
    </row>
    <row r="11" ht="22.5" customHeight="1">
      <c r="A11" s="12">
        <f t="shared" si="3"/>
        <v>5</v>
      </c>
      <c r="B11" s="12" t="s">
        <v>13</v>
      </c>
      <c r="C11" s="13" t="s">
        <v>13</v>
      </c>
      <c r="D11" s="12">
        <v>5.0</v>
      </c>
      <c r="E11" s="12">
        <v>6.0</v>
      </c>
      <c r="F11" s="12">
        <v>7.0</v>
      </c>
      <c r="G11" s="12">
        <v>8.0</v>
      </c>
      <c r="H11" s="14">
        <f t="shared" ref="H11:I11" si="7">D11+F11</f>
        <v>12</v>
      </c>
      <c r="I11" s="14">
        <f t="shared" si="7"/>
        <v>14</v>
      </c>
    </row>
    <row r="12">
      <c r="A12" s="16"/>
      <c r="B12" s="16"/>
      <c r="C12" s="17"/>
      <c r="D12" s="18"/>
      <c r="E12" s="18"/>
      <c r="F12" s="18"/>
      <c r="G12" s="18"/>
      <c r="H12" s="19"/>
      <c r="I12" s="19"/>
    </row>
    <row r="13" ht="16.5" customHeight="1">
      <c r="A13" s="20" t="s">
        <v>17</v>
      </c>
      <c r="B13" s="20">
        <v>6.0</v>
      </c>
      <c r="C13" s="17"/>
      <c r="D13" s="18"/>
      <c r="E13" s="18"/>
      <c r="F13" s="18"/>
      <c r="G13" s="18"/>
      <c r="H13" s="19"/>
      <c r="I13" s="19"/>
    </row>
    <row r="14">
      <c r="A14" s="20" t="s">
        <v>18</v>
      </c>
      <c r="B14" s="20">
        <v>4.0</v>
      </c>
      <c r="C14" s="17"/>
      <c r="D14" s="18"/>
      <c r="E14" s="18"/>
      <c r="F14" s="18"/>
      <c r="G14" s="18"/>
      <c r="H14" s="19"/>
      <c r="I14" s="19"/>
    </row>
    <row r="15">
      <c r="A15" s="20" t="s">
        <v>19</v>
      </c>
      <c r="B15" s="21"/>
      <c r="C15" s="22"/>
      <c r="D15" s="18"/>
      <c r="E15" s="18"/>
      <c r="F15" s="18"/>
      <c r="G15" s="18"/>
      <c r="H15" s="19"/>
      <c r="I15" s="19"/>
    </row>
    <row r="16">
      <c r="A16" s="16"/>
      <c r="B16" s="22"/>
      <c r="C16" s="22"/>
      <c r="D16" s="18"/>
      <c r="E16" s="18"/>
      <c r="F16" s="18"/>
      <c r="G16" s="18"/>
      <c r="H16" s="19"/>
      <c r="I16" s="19"/>
    </row>
  </sheetData>
  <dataValidations>
    <dataValidation type="custom" allowBlank="1" showDropDown="1" sqref="A6:A11 D6:I11">
      <formula1>AND(ISNUMBER(A6),(NOT(OR(NOT(ISERROR(DATEVALUE(A6))), AND(ISNUMBER(A6), LEFT(CELL("format", A6))="D")))))</formula1>
    </dataValidation>
    <dataValidation allowBlank="1" showDropDown="1" sqref="B6:C11"/>
  </dataValidations>
  <drawing r:id="rId1"/>
  <tableParts count="1">
    <tablePart r:id="rId3"/>
  </tableParts>
</worksheet>
</file>